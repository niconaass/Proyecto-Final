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ocuments\Facultad\Taller integrador\"/>
    </mc:Choice>
  </mc:AlternateContent>
  <xr:revisionPtr revIDLastSave="0" documentId="13_ncr:1_{7D12C9EF-446E-41C5-8402-210729C3ECC7}" xr6:coauthVersionLast="47" xr6:coauthVersionMax="47" xr10:uidLastSave="{00000000-0000-0000-0000-000000000000}"/>
  <bookViews>
    <workbookView xWindow="-108" yWindow="-108" windowWidth="23256" windowHeight="12456" xr2:uid="{F7637F0B-AF1C-411F-8BC7-52E22C4D134C}"/>
  </bookViews>
  <sheets>
    <sheet name="Verano promedio" sheetId="1" r:id="rId1"/>
    <sheet name="Invierno promedio" sheetId="2" r:id="rId2"/>
    <sheet name="Verano mínimo" sheetId="3" r:id="rId3"/>
    <sheet name="Invierno mínim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3" i="2"/>
  <c r="N12" i="1"/>
  <c r="N4" i="1"/>
  <c r="N5" i="1"/>
  <c r="N6" i="1"/>
  <c r="N7" i="1"/>
  <c r="N8" i="1"/>
  <c r="N9" i="1"/>
  <c r="N10" i="1"/>
  <c r="N1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3" i="1"/>
</calcChain>
</file>

<file path=xl/sharedStrings.xml><?xml version="1.0" encoding="utf-8"?>
<sst xmlns="http://schemas.openxmlformats.org/spreadsheetml/2006/main" count="29" uniqueCount="16">
  <si>
    <t>promedio potencia de 1 molino×4 molinos/1000</t>
  </si>
  <si>
    <t>Hora</t>
  </si>
  <si>
    <t>GE 3.4 Verano [MW]</t>
  </si>
  <si>
    <t>GE 3.4 Invierno [MW]</t>
  </si>
  <si>
    <t>Demanda Verano</t>
  </si>
  <si>
    <t>Demanda Invierno</t>
  </si>
  <si>
    <t>GE 3.8 Verano [MW]</t>
  </si>
  <si>
    <t>GE 3.8 Invierno [MW]</t>
  </si>
  <si>
    <t>análisis promedio estacional Pinstalada=17MW</t>
  </si>
  <si>
    <t>FV Tracker Verano [MW]</t>
  </si>
  <si>
    <t>FV Tracker Invierno [MW]</t>
  </si>
  <si>
    <t>Demanda Verano [MW]</t>
  </si>
  <si>
    <t>Demanda Invierno [MW]</t>
  </si>
  <si>
    <t>Generacion total</t>
  </si>
  <si>
    <t>Generacion total (3.4 + tracker)</t>
  </si>
  <si>
    <t>Generacion total (3.8 + tracker)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</si>
</sst>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Demanda vs generacion individual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'Verano promedio'!$B$2</c:f>
              <c:strCache>
                <c:ptCount val="1"/>
                <c:pt idx="0">
                  <c:v>GE 3.4 Verano [MW]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'Verano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'Verano promedio'!$B$3:$B$26</c:f>
              <c:numCache>
                <c:formatCode>General</c:formatCode>
                <c:ptCount val="24"/>
                <c:pt idx="0">
                  <c:v>8.4328388278388307</c:v>
                </c:pt>
                <c:pt idx="1">
                  <c:v>8.5041831501831506</c:v>
                </c:pt>
                <c:pt idx="2">
                  <c:v>8.410311355311352</c:v>
                </c:pt>
                <c:pt idx="3">
                  <c:v>8.3524285714285664</c:v>
                </c:pt>
                <c:pt idx="4">
                  <c:v>8.4291978021978</c:v>
                </c:pt>
                <c:pt idx="5">
                  <c:v>8.5959633699633677</c:v>
                </c:pt>
                <c:pt idx="6">
                  <c:v>8.3244761904761919</c:v>
                </c:pt>
                <c:pt idx="7">
                  <c:v>8.1208498168498142</c:v>
                </c:pt>
                <c:pt idx="8">
                  <c:v>8.0852161172161203</c:v>
                </c:pt>
                <c:pt idx="9">
                  <c:v>8.3057142857142914</c:v>
                </c:pt>
                <c:pt idx="10">
                  <c:v>8.3999010989010987</c:v>
                </c:pt>
                <c:pt idx="11">
                  <c:v>8.5377289377289394</c:v>
                </c:pt>
                <c:pt idx="12">
                  <c:v>8.5952124542124562</c:v>
                </c:pt>
                <c:pt idx="13">
                  <c:v>8.4254395604395569</c:v>
                </c:pt>
                <c:pt idx="14">
                  <c:v>8.2649633699633682</c:v>
                </c:pt>
                <c:pt idx="15">
                  <c:v>7.9637692307692305</c:v>
                </c:pt>
                <c:pt idx="16">
                  <c:v>7.7344322344322345</c:v>
                </c:pt>
                <c:pt idx="17">
                  <c:v>7.569234432234432</c:v>
                </c:pt>
                <c:pt idx="18">
                  <c:v>7.1293919413919449</c:v>
                </c:pt>
                <c:pt idx="19">
                  <c:v>6.9446849816849836</c:v>
                </c:pt>
                <c:pt idx="20">
                  <c:v>7.1847252747252792</c:v>
                </c:pt>
                <c:pt idx="21">
                  <c:v>7.6073150183150196</c:v>
                </c:pt>
                <c:pt idx="22">
                  <c:v>7.9488608058608055</c:v>
                </c:pt>
                <c:pt idx="23">
                  <c:v>8.2370512820512847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00-4B3B-98FD-CD5CEDA591CE}"/>
            </c:ext>
          </c:extLst>
        </c:ser>
        <c:ser>
          <c:idx val="1"/>
          <c:order val="1"/>
          <c:tx>
            <c:strRef>
              <c:f>'Verano promedio'!$C$2</c:f>
              <c:strCache>
                <c:ptCount val="1"/>
                <c:pt idx="0">
                  <c:v>Demanda Verano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'Verano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'Verano promedio'!$C$3:$C$26</c:f>
              <c:numCache>
                <c:formatCode>General</c:formatCode>
                <c:ptCount val="24"/>
                <c:pt idx="0">
                  <c:v>11.5</c:v>
                </c:pt>
                <c:pt idx="1">
                  <c:v>11</c:v>
                </c:pt>
                <c:pt idx="2">
                  <c:v>10.5</c:v>
                </c:pt>
                <c:pt idx="3">
                  <c:v>10.5</c:v>
                </c:pt>
                <c:pt idx="4">
                  <c:v>12</c:v>
                </c:pt>
                <c:pt idx="5">
                  <c:v>13.5</c:v>
                </c:pt>
                <c:pt idx="6">
                  <c:v>15</c:v>
                </c:pt>
                <c:pt idx="7">
                  <c:v>16.5</c:v>
                </c:pt>
                <c:pt idx="8">
                  <c:v>17.5</c:v>
                </c:pt>
                <c:pt idx="9">
                  <c:v>18</c:v>
                </c:pt>
                <c:pt idx="10">
                  <c:v>18.5</c:v>
                </c:pt>
                <c:pt idx="11">
                  <c:v>19</c:v>
                </c:pt>
                <c:pt idx="12">
                  <c:v>19</c:v>
                </c:pt>
                <c:pt idx="13">
                  <c:v>19.5</c:v>
                </c:pt>
                <c:pt idx="14">
                  <c:v>19</c:v>
                </c:pt>
                <c:pt idx="15">
                  <c:v>18.5</c:v>
                </c:pt>
                <c:pt idx="16">
                  <c:v>17.5</c:v>
                </c:pt>
                <c:pt idx="17">
                  <c:v>16</c:v>
                </c:pt>
                <c:pt idx="18">
                  <c:v>15.5</c:v>
                </c:pt>
                <c:pt idx="19">
                  <c:v>15</c:v>
                </c:pt>
                <c:pt idx="20">
                  <c:v>14.5</c:v>
                </c:pt>
                <c:pt idx="21">
                  <c:v>14</c:v>
                </c:pt>
                <c:pt idx="22">
                  <c:v>13</c:v>
                </c:pt>
                <c:pt idx="23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00-4B3B-98FD-CD5CEDA591CE}"/>
            </c:ext>
          </c:extLst>
        </c:ser>
        <c:ser>
          <c:idx val="2"/>
          <c:order val="2"/>
          <c:tx>
            <c:strRef>
              <c:f>'Verano promedio'!$F$2</c:f>
              <c:strCache>
                <c:ptCount val="1"/>
                <c:pt idx="0">
                  <c:v>GE 3.8 Verano [MW]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'Verano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'Verano promedio'!$F$3:$F$26</c:f>
              <c:numCache>
                <c:formatCode>General</c:formatCode>
                <c:ptCount val="24"/>
                <c:pt idx="0">
                  <c:v>8.9441025641025647</c:v>
                </c:pt>
                <c:pt idx="1">
                  <c:v>9.0049926739926729</c:v>
                </c:pt>
                <c:pt idx="2">
                  <c:v>8.8758388278388303</c:v>
                </c:pt>
                <c:pt idx="3">
                  <c:v>8.7920183150183124</c:v>
                </c:pt>
                <c:pt idx="4">
                  <c:v>8.8871721611721615</c:v>
                </c:pt>
                <c:pt idx="5">
                  <c:v>9.0446849816849788</c:v>
                </c:pt>
                <c:pt idx="6">
                  <c:v>8.780128205128209</c:v>
                </c:pt>
                <c:pt idx="7">
                  <c:v>8.562300366300363</c:v>
                </c:pt>
                <c:pt idx="8">
                  <c:v>8.5576996336996363</c:v>
                </c:pt>
                <c:pt idx="9">
                  <c:v>8.8010183150183181</c:v>
                </c:pt>
                <c:pt idx="10">
                  <c:v>8.8754835164835182</c:v>
                </c:pt>
                <c:pt idx="11">
                  <c:v>9.0281538461538418</c:v>
                </c:pt>
                <c:pt idx="12">
                  <c:v>9.0943443223443161</c:v>
                </c:pt>
                <c:pt idx="13">
                  <c:v>8.9051355311355316</c:v>
                </c:pt>
                <c:pt idx="14">
                  <c:v>8.7283186813186848</c:v>
                </c:pt>
                <c:pt idx="15">
                  <c:v>8.4168791208791234</c:v>
                </c:pt>
                <c:pt idx="16">
                  <c:v>8.1482234432234435</c:v>
                </c:pt>
                <c:pt idx="17">
                  <c:v>8.0132783882783887</c:v>
                </c:pt>
                <c:pt idx="18">
                  <c:v>7.5397802197802157</c:v>
                </c:pt>
                <c:pt idx="19">
                  <c:v>7.3476043956043942</c:v>
                </c:pt>
                <c:pt idx="20">
                  <c:v>7.5957619047619058</c:v>
                </c:pt>
                <c:pt idx="21">
                  <c:v>8.0534908424908416</c:v>
                </c:pt>
                <c:pt idx="22">
                  <c:v>8.461871794871799</c:v>
                </c:pt>
                <c:pt idx="23">
                  <c:v>8.7668498168498221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00-4B3B-98FD-CD5CEDA591CE}"/>
            </c:ext>
          </c:extLst>
        </c:ser>
        <c:ser>
          <c:idx val="3"/>
          <c:order val="3"/>
          <c:tx>
            <c:strRef>
              <c:f>'Verano promedio'!$J$2</c:f>
              <c:strCache>
                <c:ptCount val="1"/>
                <c:pt idx="0">
                  <c:v>FV Tracker Verano [MW]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'Verano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'Verano promedio'!$J$3:$J$26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2.8536089350603082</c:v>
                </c:pt>
                <c:pt idx="7">
                  <c:v>6.5014519916734512</c:v>
                </c:pt>
                <c:pt idx="8">
                  <c:v>9.77160530666327</c:v>
                </c:pt>
                <c:pt idx="9">
                  <c:v>11.315350296076936</c:v>
                </c:pt>
                <c:pt idx="10">
                  <c:v>11.819083515107016</c:v>
                </c:pt>
                <c:pt idx="11">
                  <c:v>11.705485585785182</c:v>
                </c:pt>
                <c:pt idx="12">
                  <c:v>11.483671297976171</c:v>
                </c:pt>
                <c:pt idx="13">
                  <c:v>11.406203149817369</c:v>
                </c:pt>
                <c:pt idx="14">
                  <c:v>11.327671830843459</c:v>
                </c:pt>
                <c:pt idx="15">
                  <c:v>11.122805293298077</c:v>
                </c:pt>
                <c:pt idx="16">
                  <c:v>11.019698496989614</c:v>
                </c:pt>
                <c:pt idx="17">
                  <c:v>9.7598743189278601</c:v>
                </c:pt>
                <c:pt idx="18">
                  <c:v>7.3861612879678837</c:v>
                </c:pt>
                <c:pt idx="19">
                  <c:v>4.127739557705798</c:v>
                </c:pt>
                <c:pt idx="20">
                  <c:v>7.3948085336244442E-3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00-4B3B-98FD-CD5CEDA59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71520"/>
        <c:axId val="4247824"/>
      </c:scatterChart>
      <c:valAx>
        <c:axId val="8467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47824"/>
        <c:crosses val="autoZero"/>
        <c:crossBetween val="midCat"/>
      </c:valAx>
      <c:valAx>
        <c:axId val="42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671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Demanda vs generacion total (3,4 + tracker)</a:t>
            </a:r>
          </a:p>
        </c:rich>
      </c:tx>
      <c:layout>
        <c:manualLayout>
          <c:xMode val="edge"/>
          <c:yMode val="edge"/>
          <c:x val="0.1596528871391076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'Verano promedio'!$C$2</c:f>
              <c:strCache>
                <c:ptCount val="1"/>
                <c:pt idx="0">
                  <c:v>Demanda Verano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'Verano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'Verano promedio'!$C$3:$C$26</c:f>
              <c:numCache>
                <c:formatCode>General</c:formatCode>
                <c:ptCount val="24"/>
                <c:pt idx="0">
                  <c:v>11.5</c:v>
                </c:pt>
                <c:pt idx="1">
                  <c:v>11</c:v>
                </c:pt>
                <c:pt idx="2">
                  <c:v>10.5</c:v>
                </c:pt>
                <c:pt idx="3">
                  <c:v>10.5</c:v>
                </c:pt>
                <c:pt idx="4">
                  <c:v>12</c:v>
                </c:pt>
                <c:pt idx="5">
                  <c:v>13.5</c:v>
                </c:pt>
                <c:pt idx="6">
                  <c:v>15</c:v>
                </c:pt>
                <c:pt idx="7">
                  <c:v>16.5</c:v>
                </c:pt>
                <c:pt idx="8">
                  <c:v>17.5</c:v>
                </c:pt>
                <c:pt idx="9">
                  <c:v>18</c:v>
                </c:pt>
                <c:pt idx="10">
                  <c:v>18.5</c:v>
                </c:pt>
                <c:pt idx="11">
                  <c:v>19</c:v>
                </c:pt>
                <c:pt idx="12">
                  <c:v>19</c:v>
                </c:pt>
                <c:pt idx="13">
                  <c:v>19.5</c:v>
                </c:pt>
                <c:pt idx="14">
                  <c:v>19</c:v>
                </c:pt>
                <c:pt idx="15">
                  <c:v>18.5</c:v>
                </c:pt>
                <c:pt idx="16">
                  <c:v>17.5</c:v>
                </c:pt>
                <c:pt idx="17">
                  <c:v>16</c:v>
                </c:pt>
                <c:pt idx="18">
                  <c:v>15.5</c:v>
                </c:pt>
                <c:pt idx="19">
                  <c:v>15</c:v>
                </c:pt>
                <c:pt idx="20">
                  <c:v>14.5</c:v>
                </c:pt>
                <c:pt idx="21">
                  <c:v>14</c:v>
                </c:pt>
                <c:pt idx="22">
                  <c:v>13</c:v>
                </c:pt>
                <c:pt idx="23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4D-4F1B-8524-1CF1088D6DD3}"/>
            </c:ext>
          </c:extLst>
        </c:ser>
        <c:ser>
          <c:idx val="1"/>
          <c:order val="1"/>
          <c:tx>
            <c:strRef>
              <c:f>'Verano promedio'!$M$2</c:f>
              <c:strCache>
                <c:ptCount val="1"/>
                <c:pt idx="0">
                  <c:v>Generacion total (3.4 + tracker)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'Verano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'Verano promedio'!$M$3:$M$26</c:f>
              <c:numCache>
                <c:formatCode>General</c:formatCode>
                <c:ptCount val="24"/>
                <c:pt idx="0">
                  <c:v>8.4328388278388307</c:v>
                </c:pt>
                <c:pt idx="1">
                  <c:v>8.5041831501831506</c:v>
                </c:pt>
                <c:pt idx="2">
                  <c:v>8.410311355311352</c:v>
                </c:pt>
                <c:pt idx="3">
                  <c:v>8.3524285714285664</c:v>
                </c:pt>
                <c:pt idx="4">
                  <c:v>8.4291978021978</c:v>
                </c:pt>
                <c:pt idx="5">
                  <c:v>8.5959633699633677</c:v>
                </c:pt>
                <c:pt idx="6">
                  <c:v>11.1780851255365</c:v>
                </c:pt>
                <c:pt idx="7">
                  <c:v>14.622301808523265</c:v>
                </c:pt>
                <c:pt idx="8">
                  <c:v>17.856821423879389</c:v>
                </c:pt>
                <c:pt idx="9">
                  <c:v>19.621064581791227</c:v>
                </c:pt>
                <c:pt idx="10">
                  <c:v>20.218984614008114</c:v>
                </c:pt>
                <c:pt idx="11">
                  <c:v>20.243214523514119</c:v>
                </c:pt>
                <c:pt idx="12">
                  <c:v>20.078883752188627</c:v>
                </c:pt>
                <c:pt idx="13">
                  <c:v>19.831642710256926</c:v>
                </c:pt>
                <c:pt idx="14">
                  <c:v>19.592635200806825</c:v>
                </c:pt>
                <c:pt idx="15">
                  <c:v>19.086574524067309</c:v>
                </c:pt>
                <c:pt idx="16">
                  <c:v>18.754130731421849</c:v>
                </c:pt>
                <c:pt idx="17">
                  <c:v>17.329108751162291</c:v>
                </c:pt>
                <c:pt idx="18">
                  <c:v>14.515553229359828</c:v>
                </c:pt>
                <c:pt idx="19">
                  <c:v>11.072424539390781</c:v>
                </c:pt>
                <c:pt idx="20">
                  <c:v>7.1921200832589038</c:v>
                </c:pt>
                <c:pt idx="21">
                  <c:v>7.6073150183150196</c:v>
                </c:pt>
                <c:pt idx="22">
                  <c:v>7.9488608058608055</c:v>
                </c:pt>
                <c:pt idx="23">
                  <c:v>8.2370512820512847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4D-4F1B-8524-1CF1088D6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71712"/>
        <c:axId val="4294864"/>
      </c:scatterChart>
      <c:valAx>
        <c:axId val="36377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94864"/>
        <c:crosses val="autoZero"/>
        <c:crossBetween val="midCat"/>
      </c:valAx>
      <c:valAx>
        <c:axId val="429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3771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Demanda vs generacion total (3,8 + tracker)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'Verano promedio'!$C$2</c:f>
              <c:strCache>
                <c:ptCount val="1"/>
                <c:pt idx="0">
                  <c:v>Demanda Verano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'Verano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'Verano promedio'!$C$3:$C$26</c:f>
              <c:numCache>
                <c:formatCode>General</c:formatCode>
                <c:ptCount val="24"/>
                <c:pt idx="0">
                  <c:v>11.5</c:v>
                </c:pt>
                <c:pt idx="1">
                  <c:v>11</c:v>
                </c:pt>
                <c:pt idx="2">
                  <c:v>10.5</c:v>
                </c:pt>
                <c:pt idx="3">
                  <c:v>10.5</c:v>
                </c:pt>
                <c:pt idx="4">
                  <c:v>12</c:v>
                </c:pt>
                <c:pt idx="5">
                  <c:v>13.5</c:v>
                </c:pt>
                <c:pt idx="6">
                  <c:v>15</c:v>
                </c:pt>
                <c:pt idx="7">
                  <c:v>16.5</c:v>
                </c:pt>
                <c:pt idx="8">
                  <c:v>17.5</c:v>
                </c:pt>
                <c:pt idx="9">
                  <c:v>18</c:v>
                </c:pt>
                <c:pt idx="10">
                  <c:v>18.5</c:v>
                </c:pt>
                <c:pt idx="11">
                  <c:v>19</c:v>
                </c:pt>
                <c:pt idx="12">
                  <c:v>19</c:v>
                </c:pt>
                <c:pt idx="13">
                  <c:v>19.5</c:v>
                </c:pt>
                <c:pt idx="14">
                  <c:v>19</c:v>
                </c:pt>
                <c:pt idx="15">
                  <c:v>18.5</c:v>
                </c:pt>
                <c:pt idx="16">
                  <c:v>17.5</c:v>
                </c:pt>
                <c:pt idx="17">
                  <c:v>16</c:v>
                </c:pt>
                <c:pt idx="18">
                  <c:v>15.5</c:v>
                </c:pt>
                <c:pt idx="19">
                  <c:v>15</c:v>
                </c:pt>
                <c:pt idx="20">
                  <c:v>14.5</c:v>
                </c:pt>
                <c:pt idx="21">
                  <c:v>14</c:v>
                </c:pt>
                <c:pt idx="22">
                  <c:v>13</c:v>
                </c:pt>
                <c:pt idx="23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90-484F-9CBA-1BF464951012}"/>
            </c:ext>
          </c:extLst>
        </c:ser>
        <c:ser>
          <c:idx val="1"/>
          <c:order val="1"/>
          <c:tx>
            <c:strRef>
              <c:f>'Verano promedio'!$N$2</c:f>
              <c:strCache>
                <c:ptCount val="1"/>
                <c:pt idx="0">
                  <c:v>Generacion total (3.8 + tracker)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'Verano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'Verano promedio'!$N$3:$N$26</c:f>
              <c:numCache>
                <c:formatCode>General</c:formatCode>
                <c:ptCount val="24"/>
                <c:pt idx="0">
                  <c:v>8.9441025641025647</c:v>
                </c:pt>
                <c:pt idx="1">
                  <c:v>9.0049926739926729</c:v>
                </c:pt>
                <c:pt idx="2">
                  <c:v>8.8758388278388303</c:v>
                </c:pt>
                <c:pt idx="3">
                  <c:v>8.7920183150183124</c:v>
                </c:pt>
                <c:pt idx="4">
                  <c:v>8.8871721611721615</c:v>
                </c:pt>
                <c:pt idx="5">
                  <c:v>9.0446849816849788</c:v>
                </c:pt>
                <c:pt idx="6">
                  <c:v>11.633737140188517</c:v>
                </c:pt>
                <c:pt idx="7">
                  <c:v>15.063752357973815</c:v>
                </c:pt>
                <c:pt idx="8">
                  <c:v>18.329304940362906</c:v>
                </c:pt>
                <c:pt idx="9">
                  <c:v>20.116368611095254</c:v>
                </c:pt>
                <c:pt idx="10">
                  <c:v>20.694567031590534</c:v>
                </c:pt>
                <c:pt idx="11">
                  <c:v>20.733639431939025</c:v>
                </c:pt>
                <c:pt idx="12">
                  <c:v>20.578015620320485</c:v>
                </c:pt>
                <c:pt idx="13">
                  <c:v>20.3113386809529</c:v>
                </c:pt>
                <c:pt idx="14">
                  <c:v>20.055990512162143</c:v>
                </c:pt>
                <c:pt idx="15">
                  <c:v>19.539684414177202</c:v>
                </c:pt>
                <c:pt idx="16">
                  <c:v>19.167921940213056</c:v>
                </c:pt>
                <c:pt idx="17">
                  <c:v>17.773152707206251</c:v>
                </c:pt>
                <c:pt idx="18">
                  <c:v>14.925941507748099</c:v>
                </c:pt>
                <c:pt idx="19">
                  <c:v>11.475343953310192</c:v>
                </c:pt>
                <c:pt idx="20">
                  <c:v>7.6031567132955304</c:v>
                </c:pt>
                <c:pt idx="21">
                  <c:v>8.0534908424908416</c:v>
                </c:pt>
                <c:pt idx="22">
                  <c:v>8.461871794871799</c:v>
                </c:pt>
                <c:pt idx="23">
                  <c:v>8.7668498168498221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90-484F-9CBA-1BF464951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694016"/>
        <c:axId val="4296304"/>
      </c:scatterChart>
      <c:valAx>
        <c:axId val="32369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96304"/>
        <c:crosses val="autoZero"/>
        <c:crossBetween val="midCat"/>
      </c:valAx>
      <c:valAx>
        <c:axId val="429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3694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Demanda</a:t>
            </a:r>
            <a:r>
              <a:rPr lang="es-MX" baseline="0"/>
              <a:t> vs generacion individual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'Invierno promedio'!$B$2</c:f>
              <c:strCache>
                <c:ptCount val="1"/>
                <c:pt idx="0">
                  <c:v>GE 3.4 Invierno [MW]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'Invierno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'Invierno promedio'!$B$3:$B$26</c:f>
              <c:numCache>
                <c:formatCode>General</c:formatCode>
                <c:ptCount val="24"/>
                <c:pt idx="0">
                  <c:v>8.895673913043483</c:v>
                </c:pt>
                <c:pt idx="1">
                  <c:v>8.904503623188404</c:v>
                </c:pt>
                <c:pt idx="2">
                  <c:v>8.8331811594202936</c:v>
                </c:pt>
                <c:pt idx="3">
                  <c:v>8.8791666666666593</c:v>
                </c:pt>
                <c:pt idx="4">
                  <c:v>9.0395724637681116</c:v>
                </c:pt>
                <c:pt idx="5">
                  <c:v>8.9924275362318884</c:v>
                </c:pt>
                <c:pt idx="6">
                  <c:v>8.7901413043478254</c:v>
                </c:pt>
                <c:pt idx="7">
                  <c:v>8.5960615942029062</c:v>
                </c:pt>
                <c:pt idx="8">
                  <c:v>8.4298695652173894</c:v>
                </c:pt>
                <c:pt idx="9">
                  <c:v>8.4113514492753598</c:v>
                </c:pt>
                <c:pt idx="10">
                  <c:v>8.2718297101449281</c:v>
                </c:pt>
                <c:pt idx="11">
                  <c:v>8.255148550724634</c:v>
                </c:pt>
                <c:pt idx="12">
                  <c:v>8.2952934782608629</c:v>
                </c:pt>
                <c:pt idx="13">
                  <c:v>8.4436231884057982</c:v>
                </c:pt>
                <c:pt idx="14">
                  <c:v>8.4008478260869595</c:v>
                </c:pt>
                <c:pt idx="15">
                  <c:v>8.2015978260869566</c:v>
                </c:pt>
                <c:pt idx="16">
                  <c:v>8.1271956521739117</c:v>
                </c:pt>
                <c:pt idx="17">
                  <c:v>8.2678079710144914</c:v>
                </c:pt>
                <c:pt idx="18">
                  <c:v>8.3340760869565234</c:v>
                </c:pt>
                <c:pt idx="19">
                  <c:v>8.3684057971014472</c:v>
                </c:pt>
                <c:pt idx="20">
                  <c:v>8.5374202898550706</c:v>
                </c:pt>
                <c:pt idx="21">
                  <c:v>8.6125579710144979</c:v>
                </c:pt>
                <c:pt idx="22">
                  <c:v>8.7556449275362276</c:v>
                </c:pt>
                <c:pt idx="23">
                  <c:v>8.8914130434782663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61-498C-AB5E-C1447C573F4A}"/>
            </c:ext>
          </c:extLst>
        </c:ser>
        <c:ser>
          <c:idx val="1"/>
          <c:order val="1"/>
          <c:tx>
            <c:strRef>
              <c:f>'Invierno promedio'!$C$2</c:f>
              <c:strCache>
                <c:ptCount val="1"/>
                <c:pt idx="0">
                  <c:v>Demanda Invierno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'Invierno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'Invierno promedio'!$C$3:$C$26</c:f>
              <c:numCache>
                <c:formatCode>General</c:formatCode>
                <c:ptCount val="24"/>
                <c:pt idx="0">
                  <c:v>9.5</c:v>
                </c:pt>
                <c:pt idx="1">
                  <c:v>9</c:v>
                </c:pt>
                <c:pt idx="2">
                  <c:v>9</c:v>
                </c:pt>
                <c:pt idx="3">
                  <c:v>9.5</c:v>
                </c:pt>
                <c:pt idx="4">
                  <c:v>11</c:v>
                </c:pt>
                <c:pt idx="5">
                  <c:v>12.5</c:v>
                </c:pt>
                <c:pt idx="6">
                  <c:v>14</c:v>
                </c:pt>
                <c:pt idx="7">
                  <c:v>15.5</c:v>
                </c:pt>
                <c:pt idx="8">
                  <c:v>16</c:v>
                </c:pt>
                <c:pt idx="9">
                  <c:v>16</c:v>
                </c:pt>
                <c:pt idx="10">
                  <c:v>15.5</c:v>
                </c:pt>
                <c:pt idx="11">
                  <c:v>15</c:v>
                </c:pt>
                <c:pt idx="12">
                  <c:v>15</c:v>
                </c:pt>
                <c:pt idx="13">
                  <c:v>14.5</c:v>
                </c:pt>
                <c:pt idx="14">
                  <c:v>14.5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18.5</c:v>
                </c:pt>
                <c:pt idx="20">
                  <c:v>18</c:v>
                </c:pt>
                <c:pt idx="21">
                  <c:v>16.5</c:v>
                </c:pt>
                <c:pt idx="22">
                  <c:v>14</c:v>
                </c:pt>
                <c:pt idx="23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61-498C-AB5E-C1447C573F4A}"/>
            </c:ext>
          </c:extLst>
        </c:ser>
        <c:ser>
          <c:idx val="2"/>
          <c:order val="2"/>
          <c:tx>
            <c:strRef>
              <c:f>'Invierno promedio'!$F$2</c:f>
              <c:strCache>
                <c:ptCount val="1"/>
                <c:pt idx="0">
                  <c:v>GE 3.8 Invierno [MW]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'Invierno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'Invierno promedio'!$F$3:$F$26</c:f>
              <c:numCache>
                <c:formatCode>General</c:formatCode>
                <c:ptCount val="24"/>
                <c:pt idx="0">
                  <c:v>9.4448804347826094</c:v>
                </c:pt>
                <c:pt idx="1">
                  <c:v>9.4411304347826146</c:v>
                </c:pt>
                <c:pt idx="2">
                  <c:v>9.3567391304347822</c:v>
                </c:pt>
                <c:pt idx="3">
                  <c:v>9.3990869565217405</c:v>
                </c:pt>
                <c:pt idx="4">
                  <c:v>9.5630253623188395</c:v>
                </c:pt>
                <c:pt idx="5">
                  <c:v>9.549920289855077</c:v>
                </c:pt>
                <c:pt idx="6">
                  <c:v>9.341253623188404</c:v>
                </c:pt>
                <c:pt idx="7">
                  <c:v>9.1226086956521701</c:v>
                </c:pt>
                <c:pt idx="8">
                  <c:v>8.9197246376811616</c:v>
                </c:pt>
                <c:pt idx="9">
                  <c:v>8.9074311594202911</c:v>
                </c:pt>
                <c:pt idx="10">
                  <c:v>8.7900942028985476</c:v>
                </c:pt>
                <c:pt idx="11">
                  <c:v>8.8041956521739131</c:v>
                </c:pt>
                <c:pt idx="12">
                  <c:v>8.8476014492753663</c:v>
                </c:pt>
                <c:pt idx="13">
                  <c:v>8.9863913043478245</c:v>
                </c:pt>
                <c:pt idx="14">
                  <c:v>8.9463007246376804</c:v>
                </c:pt>
                <c:pt idx="15">
                  <c:v>8.7341992753623163</c:v>
                </c:pt>
                <c:pt idx="16">
                  <c:v>8.6361195652173866</c:v>
                </c:pt>
                <c:pt idx="17">
                  <c:v>8.8056159420289806</c:v>
                </c:pt>
                <c:pt idx="18">
                  <c:v>8.8512898550724675</c:v>
                </c:pt>
                <c:pt idx="19">
                  <c:v>8.904688405797101</c:v>
                </c:pt>
                <c:pt idx="20">
                  <c:v>9.0844094202898553</c:v>
                </c:pt>
                <c:pt idx="21">
                  <c:v>9.1365869565217306</c:v>
                </c:pt>
                <c:pt idx="22">
                  <c:v>9.2957173913043487</c:v>
                </c:pt>
                <c:pt idx="23">
                  <c:v>9.4252246376811577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61-498C-AB5E-C1447C573F4A}"/>
            </c:ext>
          </c:extLst>
        </c:ser>
        <c:ser>
          <c:idx val="3"/>
          <c:order val="3"/>
          <c:tx>
            <c:strRef>
              <c:f>'Invierno promedio'!$J$2</c:f>
              <c:strCache>
                <c:ptCount val="1"/>
                <c:pt idx="0">
                  <c:v>FV Tracker Invierno [MW]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'Invierno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'Invierno promedio'!$J$3:$J$26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0.29369911025181178</c:v>
                </c:pt>
                <c:pt idx="7">
                  <c:v>1.9262854295583458</c:v>
                </c:pt>
                <c:pt idx="8">
                  <c:v>4.7457789620039321</c:v>
                </c:pt>
                <c:pt idx="9">
                  <c:v>7.7329692419582745</c:v>
                </c:pt>
                <c:pt idx="10">
                  <c:v>8.4384653461489183</c:v>
                </c:pt>
                <c:pt idx="11">
                  <c:v>8.2430711071545328</c:v>
                </c:pt>
                <c:pt idx="12">
                  <c:v>7.840254198391607</c:v>
                </c:pt>
                <c:pt idx="13">
                  <c:v>7.8003446760936024</c:v>
                </c:pt>
                <c:pt idx="14">
                  <c:v>8.0476096264561647</c:v>
                </c:pt>
                <c:pt idx="15">
                  <c:v>8.1036007931309104</c:v>
                </c:pt>
                <c:pt idx="16">
                  <c:v>7.5727299015421989</c:v>
                </c:pt>
                <c:pt idx="17">
                  <c:v>5.9764655668833333</c:v>
                </c:pt>
                <c:pt idx="18">
                  <c:v>2.1731638098716131</c:v>
                </c:pt>
                <c:pt idx="19">
                  <c:v>4.5861203450583213E-3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61-498C-AB5E-C1447C573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75888"/>
        <c:axId val="4263184"/>
      </c:scatterChart>
      <c:valAx>
        <c:axId val="36377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63184"/>
        <c:crosses val="autoZero"/>
        <c:crossBetween val="midCat"/>
      </c:valAx>
      <c:valAx>
        <c:axId val="426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377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Demanda</a:t>
            </a:r>
            <a:r>
              <a:rPr lang="es-MX" baseline="0"/>
              <a:t> vs generacion total (3,4 + tracker)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'Invierno promedio'!$C$2</c:f>
              <c:strCache>
                <c:ptCount val="1"/>
                <c:pt idx="0">
                  <c:v>Demanda Invierno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'Invierno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'Invierno promedio'!$C$3:$C$26</c:f>
              <c:numCache>
                <c:formatCode>General</c:formatCode>
                <c:ptCount val="24"/>
                <c:pt idx="0">
                  <c:v>9.5</c:v>
                </c:pt>
                <c:pt idx="1">
                  <c:v>9</c:v>
                </c:pt>
                <c:pt idx="2">
                  <c:v>9</c:v>
                </c:pt>
                <c:pt idx="3">
                  <c:v>9.5</c:v>
                </c:pt>
                <c:pt idx="4">
                  <c:v>11</c:v>
                </c:pt>
                <c:pt idx="5">
                  <c:v>12.5</c:v>
                </c:pt>
                <c:pt idx="6">
                  <c:v>14</c:v>
                </c:pt>
                <c:pt idx="7">
                  <c:v>15.5</c:v>
                </c:pt>
                <c:pt idx="8">
                  <c:v>16</c:v>
                </c:pt>
                <c:pt idx="9">
                  <c:v>16</c:v>
                </c:pt>
                <c:pt idx="10">
                  <c:v>15.5</c:v>
                </c:pt>
                <c:pt idx="11">
                  <c:v>15</c:v>
                </c:pt>
                <c:pt idx="12">
                  <c:v>15</c:v>
                </c:pt>
                <c:pt idx="13">
                  <c:v>14.5</c:v>
                </c:pt>
                <c:pt idx="14">
                  <c:v>14.5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18.5</c:v>
                </c:pt>
                <c:pt idx="20">
                  <c:v>18</c:v>
                </c:pt>
                <c:pt idx="21">
                  <c:v>16.5</c:v>
                </c:pt>
                <c:pt idx="22">
                  <c:v>14</c:v>
                </c:pt>
                <c:pt idx="23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A0-4C45-89CD-AADD2879E72C}"/>
            </c:ext>
          </c:extLst>
        </c:ser>
        <c:ser>
          <c:idx val="1"/>
          <c:order val="1"/>
          <c:tx>
            <c:strRef>
              <c:f>'Invierno promedio'!$M$2</c:f>
              <c:strCache>
                <c:ptCount val="1"/>
                <c:pt idx="0">
                  <c:v>Generacion total (3.4 + tracker)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'Invierno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'Invierno promedio'!$M$3:$M$26</c:f>
              <c:numCache>
                <c:formatCode>General</c:formatCode>
                <c:ptCount val="24"/>
                <c:pt idx="0">
                  <c:v>8.895673913043483</c:v>
                </c:pt>
                <c:pt idx="1">
                  <c:v>8.904503623188404</c:v>
                </c:pt>
                <c:pt idx="2">
                  <c:v>8.8331811594202936</c:v>
                </c:pt>
                <c:pt idx="3">
                  <c:v>8.8791666666666593</c:v>
                </c:pt>
                <c:pt idx="4">
                  <c:v>9.0395724637681116</c:v>
                </c:pt>
                <c:pt idx="5">
                  <c:v>8.9924275362318884</c:v>
                </c:pt>
                <c:pt idx="6">
                  <c:v>9.0838404145996368</c:v>
                </c:pt>
                <c:pt idx="7">
                  <c:v>10.522347023761252</c:v>
                </c:pt>
                <c:pt idx="8">
                  <c:v>13.175648527221322</c:v>
                </c:pt>
                <c:pt idx="9">
                  <c:v>16.144320691233634</c:v>
                </c:pt>
                <c:pt idx="10">
                  <c:v>16.710295056293845</c:v>
                </c:pt>
                <c:pt idx="11">
                  <c:v>16.498219657879169</c:v>
                </c:pt>
                <c:pt idx="12">
                  <c:v>16.135547676652472</c:v>
                </c:pt>
                <c:pt idx="13">
                  <c:v>16.2439678644994</c:v>
                </c:pt>
                <c:pt idx="14">
                  <c:v>16.448457452543124</c:v>
                </c:pt>
                <c:pt idx="15">
                  <c:v>16.305198619217869</c:v>
                </c:pt>
                <c:pt idx="16">
                  <c:v>15.69992555371611</c:v>
                </c:pt>
                <c:pt idx="17">
                  <c:v>14.244273537897826</c:v>
                </c:pt>
                <c:pt idx="18">
                  <c:v>10.507239896828136</c:v>
                </c:pt>
                <c:pt idx="19">
                  <c:v>8.3729919174465053</c:v>
                </c:pt>
                <c:pt idx="20">
                  <c:v>8.5374202898550706</c:v>
                </c:pt>
                <c:pt idx="21">
                  <c:v>8.6125579710144979</c:v>
                </c:pt>
                <c:pt idx="22">
                  <c:v>8.7556449275362276</c:v>
                </c:pt>
                <c:pt idx="23">
                  <c:v>8.8914130434782663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A0-4C45-89CD-AADD2879E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684272"/>
        <c:axId val="4279024"/>
      </c:scatterChart>
      <c:valAx>
        <c:axId val="32368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79024"/>
        <c:crosses val="autoZero"/>
        <c:crossBetween val="midCat"/>
      </c:valAx>
      <c:valAx>
        <c:axId val="427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3684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Demanda vs generacion total (3,8 + tracker)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'Invierno promedio'!$C$2</c:f>
              <c:strCache>
                <c:ptCount val="1"/>
                <c:pt idx="0">
                  <c:v>Demanda Invierno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'Invierno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'Invierno promedio'!$C$3:$C$26</c:f>
              <c:numCache>
                <c:formatCode>General</c:formatCode>
                <c:ptCount val="24"/>
                <c:pt idx="0">
                  <c:v>9.5</c:v>
                </c:pt>
                <c:pt idx="1">
                  <c:v>9</c:v>
                </c:pt>
                <c:pt idx="2">
                  <c:v>9</c:v>
                </c:pt>
                <c:pt idx="3">
                  <c:v>9.5</c:v>
                </c:pt>
                <c:pt idx="4">
                  <c:v>11</c:v>
                </c:pt>
                <c:pt idx="5">
                  <c:v>12.5</c:v>
                </c:pt>
                <c:pt idx="6">
                  <c:v>14</c:v>
                </c:pt>
                <c:pt idx="7">
                  <c:v>15.5</c:v>
                </c:pt>
                <c:pt idx="8">
                  <c:v>16</c:v>
                </c:pt>
                <c:pt idx="9">
                  <c:v>16</c:v>
                </c:pt>
                <c:pt idx="10">
                  <c:v>15.5</c:v>
                </c:pt>
                <c:pt idx="11">
                  <c:v>15</c:v>
                </c:pt>
                <c:pt idx="12">
                  <c:v>15</c:v>
                </c:pt>
                <c:pt idx="13">
                  <c:v>14.5</c:v>
                </c:pt>
                <c:pt idx="14">
                  <c:v>14.5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18.5</c:v>
                </c:pt>
                <c:pt idx="20">
                  <c:v>18</c:v>
                </c:pt>
                <c:pt idx="21">
                  <c:v>16.5</c:v>
                </c:pt>
                <c:pt idx="22">
                  <c:v>14</c:v>
                </c:pt>
                <c:pt idx="23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85-4024-B806-D6DCC7B43D0C}"/>
            </c:ext>
          </c:extLst>
        </c:ser>
        <c:ser>
          <c:idx val="1"/>
          <c:order val="1"/>
          <c:tx>
            <c:strRef>
              <c:f>'Invierno promedio'!$N$2</c:f>
              <c:strCache>
                <c:ptCount val="1"/>
                <c:pt idx="0">
                  <c:v>Generacion total (3.8 + tracker)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'Invierno promedio'!$A$3:$A$26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'Invierno promedio'!$N$3:$N$26</c:f>
              <c:numCache>
                <c:formatCode>General</c:formatCode>
                <c:ptCount val="24"/>
                <c:pt idx="0">
                  <c:v>9.4448804347826094</c:v>
                </c:pt>
                <c:pt idx="1">
                  <c:v>9.4411304347826146</c:v>
                </c:pt>
                <c:pt idx="2">
                  <c:v>9.3567391304347822</c:v>
                </c:pt>
                <c:pt idx="3">
                  <c:v>9.3990869565217405</c:v>
                </c:pt>
                <c:pt idx="4">
                  <c:v>9.5630253623188395</c:v>
                </c:pt>
                <c:pt idx="5">
                  <c:v>9.549920289855077</c:v>
                </c:pt>
                <c:pt idx="6">
                  <c:v>9.6349527334402154</c:v>
                </c:pt>
                <c:pt idx="7">
                  <c:v>11.048894125210516</c:v>
                </c:pt>
                <c:pt idx="8">
                  <c:v>13.665503599685094</c:v>
                </c:pt>
                <c:pt idx="9">
                  <c:v>16.640400401378564</c:v>
                </c:pt>
                <c:pt idx="10">
                  <c:v>17.228559549047468</c:v>
                </c:pt>
                <c:pt idx="11">
                  <c:v>17.047266759328444</c:v>
                </c:pt>
                <c:pt idx="12">
                  <c:v>16.687855647666971</c:v>
                </c:pt>
                <c:pt idx="13">
                  <c:v>16.786735980441428</c:v>
                </c:pt>
                <c:pt idx="14">
                  <c:v>16.993910351093845</c:v>
                </c:pt>
                <c:pt idx="15">
                  <c:v>16.837800068493227</c:v>
                </c:pt>
                <c:pt idx="16">
                  <c:v>16.208849466759585</c:v>
                </c:pt>
                <c:pt idx="17">
                  <c:v>14.782081508912313</c:v>
                </c:pt>
                <c:pt idx="18">
                  <c:v>11.02445366494408</c:v>
                </c:pt>
                <c:pt idx="19">
                  <c:v>8.9092745261421591</c:v>
                </c:pt>
                <c:pt idx="20">
                  <c:v>9.0844094202898553</c:v>
                </c:pt>
                <c:pt idx="21">
                  <c:v>9.1365869565217306</c:v>
                </c:pt>
                <c:pt idx="22">
                  <c:v>9.2957173913043487</c:v>
                </c:pt>
                <c:pt idx="23">
                  <c:v>9.4252246376811577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85-4024-B806-D6DCC7B43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54816"/>
        <c:axId val="4307824"/>
      </c:scatterChart>
      <c:valAx>
        <c:axId val="8465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07824"/>
        <c:crosses val="autoZero"/>
        <c:crossBetween val="midCat"/>
      </c:valAx>
      <c:valAx>
        <c:axId val="43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65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262467</xdr:colOff>
      <xdr:row>0</xdr:row>
      <xdr:rowOff>143933</xdr:rowOff>
    </xdr:from>
    <xdr:to>
      <xdr:col>20</xdr:col>
      <xdr:colOff>59267</xdr:colOff>
      <xdr:row>13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4062C2-A4C7-2BAD-7245-B987A7B60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254001</xdr:colOff>
      <xdr:row>14</xdr:row>
      <xdr:rowOff>42334</xdr:rowOff>
    </xdr:from>
    <xdr:to>
      <xdr:col>20</xdr:col>
      <xdr:colOff>50801</xdr:colOff>
      <xdr:row>28</xdr:row>
      <xdr:rowOff>177801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91FBDC7-D657-102C-954A-FC6A7A727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745068</xdr:colOff>
      <xdr:row>14</xdr:row>
      <xdr:rowOff>33867</xdr:rowOff>
    </xdr:from>
    <xdr:to>
      <xdr:col>26</xdr:col>
      <xdr:colOff>541868</xdr:colOff>
      <xdr:row>28</xdr:row>
      <xdr:rowOff>169334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D60DD5C-3B34-96DC-A6CD-9C551D16A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731520</xdr:colOff>
      <xdr:row>1</xdr:row>
      <xdr:rowOff>41910</xdr:rowOff>
    </xdr:from>
    <xdr:to>
      <xdr:col>20</xdr:col>
      <xdr:colOff>548640</xdr:colOff>
      <xdr:row>14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82BEB9-E12E-E6F6-4D89-EC56B0036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670560</xdr:colOff>
      <xdr:row>15</xdr:row>
      <xdr:rowOff>156210</xdr:rowOff>
    </xdr:from>
    <xdr:to>
      <xdr:col>20</xdr:col>
      <xdr:colOff>487680</xdr:colOff>
      <xdr:row>30</xdr:row>
      <xdr:rowOff>156210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7E56DE-8C4C-C0A0-CBA8-2D3BFEEB0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214587</xdr:colOff>
      <xdr:row>15</xdr:row>
      <xdr:rowOff>143641</xdr:rowOff>
    </xdr:from>
    <xdr:to>
      <xdr:col>27</xdr:col>
      <xdr:colOff>56932</xdr:colOff>
      <xdr:row>30</xdr:row>
      <xdr:rowOff>127876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8F83A4-974E-0C34-A6E1-70FA97377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40B6-B5D6-4435-9DB9-20E0B03D22F9}">
  <dimension ref="A1:N26"/>
  <sheetViews>
    <sheetView tabSelected="1" topLeftCell="J1" zoomScale="90" workbookViewId="0">
      <selection activeCell="Y13" sqref="Y13"/>
    </sheetView>
  </sheetViews>
  <sheetFormatPr baseColWidth="10" defaultRowHeight="14.4" x14ac:dyDescent="0.3"/>
  <sheetData>
    <row r="1" spans="1:14" x14ac:dyDescent="0.3">
      <c r="A1" s="4" t="s">
        <v>0</v>
      </c>
      <c r="B1" s="5"/>
      <c r="C1" s="5"/>
      <c r="D1" s="5"/>
      <c r="E1" s="5"/>
      <c r="F1" s="5"/>
      <c r="G1" s="6"/>
      <c r="I1" s="8" t="s">
        <v>8</v>
      </c>
      <c r="J1" s="9"/>
      <c r="K1" s="10"/>
      <c r="M1" s="3" t="s">
        <v>13</v>
      </c>
      <c r="N1" s="3"/>
    </row>
    <row r="2" spans="1:14" ht="43.2" x14ac:dyDescent="0.3">
      <c r="A2" s="1" t="s">
        <v>1</v>
      </c>
      <c r="B2" s="1" t="s">
        <v>2</v>
      </c>
      <c r="C2" s="1" t="s">
        <v>4</v>
      </c>
      <c r="D2" s="7"/>
      <c r="E2" s="1" t="s">
        <v>1</v>
      </c>
      <c r="F2" s="1" t="s">
        <v>6</v>
      </c>
      <c r="G2" s="1" t="s">
        <v>4</v>
      </c>
      <c r="I2" s="1" t="s">
        <v>1</v>
      </c>
      <c r="J2" s="1" t="s">
        <v>9</v>
      </c>
      <c r="K2" s="1" t="s">
        <v>11</v>
      </c>
      <c r="M2" s="11" t="s">
        <v>14</v>
      </c>
      <c r="N2" s="11" t="s">
        <v>15</v>
      </c>
    </row>
    <row r="3" spans="1:14" x14ac:dyDescent="0.3">
      <c r="A3" s="2">
        <v>0</v>
      </c>
      <c r="B3" s="2">
        <v>8.4328388278388307</v>
      </c>
      <c r="C3" s="2">
        <v>11.5</v>
      </c>
      <c r="E3" s="2">
        <v>0</v>
      </c>
      <c r="F3" s="2">
        <v>8.9441025641025647</v>
      </c>
      <c r="G3" s="2">
        <v>11.5</v>
      </c>
      <c r="I3" s="2">
        <v>0</v>
      </c>
      <c r="J3" s="2">
        <v>0</v>
      </c>
      <c r="K3" s="2">
        <v>11.5</v>
      </c>
      <c r="M3" s="12">
        <f>B3+J3</f>
        <v>8.4328388278388307</v>
      </c>
      <c r="N3" s="12">
        <f>F3+J3</f>
        <v>8.9441025641025647</v>
      </c>
    </row>
    <row r="4" spans="1:14" x14ac:dyDescent="0.3">
      <c r="A4" s="2">
        <v>1</v>
      </c>
      <c r="B4" s="2">
        <v>8.5041831501831506</v>
      </c>
      <c r="C4" s="2">
        <v>11</v>
      </c>
      <c r="E4" s="2">
        <v>1</v>
      </c>
      <c r="F4" s="2">
        <v>9.0049926739926729</v>
      </c>
      <c r="G4" s="2">
        <v>11</v>
      </c>
      <c r="I4" s="2">
        <v>1</v>
      </c>
      <c r="J4" s="2">
        <v>0</v>
      </c>
      <c r="K4" s="2">
        <v>11</v>
      </c>
      <c r="M4" s="12">
        <f t="shared" ref="M4:M26" si="0">B4+J4</f>
        <v>8.5041831501831506</v>
      </c>
      <c r="N4" s="12">
        <f t="shared" ref="N4:N26" si="1">F4+J4</f>
        <v>9.0049926739926729</v>
      </c>
    </row>
    <row r="5" spans="1:14" x14ac:dyDescent="0.3">
      <c r="A5" s="2">
        <v>2</v>
      </c>
      <c r="B5" s="2">
        <v>8.410311355311352</v>
      </c>
      <c r="C5" s="2">
        <v>10.5</v>
      </c>
      <c r="E5" s="2">
        <v>2</v>
      </c>
      <c r="F5" s="2">
        <v>8.8758388278388303</v>
      </c>
      <c r="G5" s="2">
        <v>10.5</v>
      </c>
      <c r="I5" s="2">
        <v>2</v>
      </c>
      <c r="J5" s="2">
        <v>0</v>
      </c>
      <c r="K5" s="2">
        <v>10.5</v>
      </c>
      <c r="M5" s="12">
        <f t="shared" si="0"/>
        <v>8.410311355311352</v>
      </c>
      <c r="N5" s="12">
        <f t="shared" si="1"/>
        <v>8.8758388278388303</v>
      </c>
    </row>
    <row r="6" spans="1:14" x14ac:dyDescent="0.3">
      <c r="A6" s="2">
        <v>3</v>
      </c>
      <c r="B6" s="2">
        <v>8.3524285714285664</v>
      </c>
      <c r="C6" s="2">
        <v>10.5</v>
      </c>
      <c r="E6" s="2">
        <v>3</v>
      </c>
      <c r="F6" s="2">
        <v>8.7920183150183124</v>
      </c>
      <c r="G6" s="2">
        <v>10.5</v>
      </c>
      <c r="I6" s="2">
        <v>3</v>
      </c>
      <c r="J6" s="2">
        <v>0</v>
      </c>
      <c r="K6" s="2">
        <v>10.5</v>
      </c>
      <c r="M6" s="12">
        <f t="shared" si="0"/>
        <v>8.3524285714285664</v>
      </c>
      <c r="N6" s="12">
        <f t="shared" si="1"/>
        <v>8.7920183150183124</v>
      </c>
    </row>
    <row r="7" spans="1:14" x14ac:dyDescent="0.3">
      <c r="A7" s="2">
        <v>4</v>
      </c>
      <c r="B7" s="2">
        <v>8.4291978021978</v>
      </c>
      <c r="C7" s="2">
        <v>12</v>
      </c>
      <c r="E7" s="2">
        <v>4</v>
      </c>
      <c r="F7" s="2">
        <v>8.8871721611721615</v>
      </c>
      <c r="G7" s="2">
        <v>12</v>
      </c>
      <c r="I7" s="2">
        <v>4</v>
      </c>
      <c r="J7" s="2">
        <v>0</v>
      </c>
      <c r="K7" s="2">
        <v>12</v>
      </c>
      <c r="M7" s="12">
        <f t="shared" si="0"/>
        <v>8.4291978021978</v>
      </c>
      <c r="N7" s="12">
        <f t="shared" si="1"/>
        <v>8.8871721611721615</v>
      </c>
    </row>
    <row r="8" spans="1:14" x14ac:dyDescent="0.3">
      <c r="A8" s="2">
        <v>5</v>
      </c>
      <c r="B8" s="2">
        <v>8.5959633699633677</v>
      </c>
      <c r="C8" s="2">
        <v>13.5</v>
      </c>
      <c r="E8" s="2">
        <v>5</v>
      </c>
      <c r="F8" s="2">
        <v>9.0446849816849788</v>
      </c>
      <c r="G8" s="2">
        <v>13.5</v>
      </c>
      <c r="I8" s="2">
        <v>5</v>
      </c>
      <c r="J8" s="2">
        <v>0</v>
      </c>
      <c r="K8" s="2">
        <v>13.5</v>
      </c>
      <c r="M8" s="12">
        <f t="shared" si="0"/>
        <v>8.5959633699633677</v>
      </c>
      <c r="N8" s="12">
        <f t="shared" si="1"/>
        <v>9.0446849816849788</v>
      </c>
    </row>
    <row r="9" spans="1:14" x14ac:dyDescent="0.3">
      <c r="A9" s="2">
        <v>6</v>
      </c>
      <c r="B9" s="2">
        <v>8.3244761904761919</v>
      </c>
      <c r="C9" s="2">
        <v>15</v>
      </c>
      <c r="E9" s="2">
        <v>6</v>
      </c>
      <c r="F9" s="2">
        <v>8.780128205128209</v>
      </c>
      <c r="G9" s="2">
        <v>15</v>
      </c>
      <c r="I9" s="2">
        <v>6</v>
      </c>
      <c r="J9" s="2">
        <v>2.8536089350603082</v>
      </c>
      <c r="K9" s="2">
        <v>15</v>
      </c>
      <c r="M9" s="12">
        <f t="shared" si="0"/>
        <v>11.1780851255365</v>
      </c>
      <c r="N9" s="12">
        <f t="shared" si="1"/>
        <v>11.633737140188517</v>
      </c>
    </row>
    <row r="10" spans="1:14" x14ac:dyDescent="0.3">
      <c r="A10" s="2">
        <v>7</v>
      </c>
      <c r="B10" s="2">
        <v>8.1208498168498142</v>
      </c>
      <c r="C10" s="2">
        <v>16.5</v>
      </c>
      <c r="E10" s="2">
        <v>7</v>
      </c>
      <c r="F10" s="2">
        <v>8.562300366300363</v>
      </c>
      <c r="G10" s="2">
        <v>16.5</v>
      </c>
      <c r="I10" s="2">
        <v>7</v>
      </c>
      <c r="J10" s="2">
        <v>6.5014519916734512</v>
      </c>
      <c r="K10" s="2">
        <v>16.5</v>
      </c>
      <c r="M10" s="12">
        <f t="shared" si="0"/>
        <v>14.622301808523265</v>
      </c>
      <c r="N10" s="12">
        <f t="shared" si="1"/>
        <v>15.063752357973815</v>
      </c>
    </row>
    <row r="11" spans="1:14" x14ac:dyDescent="0.3">
      <c r="A11" s="2">
        <v>8</v>
      </c>
      <c r="B11" s="2">
        <v>8.0852161172161203</v>
      </c>
      <c r="C11" s="2">
        <v>17.5</v>
      </c>
      <c r="E11" s="2">
        <v>8</v>
      </c>
      <c r="F11" s="2">
        <v>8.5576996336996363</v>
      </c>
      <c r="G11" s="2">
        <v>17.5</v>
      </c>
      <c r="I11" s="2">
        <v>8</v>
      </c>
      <c r="J11" s="2">
        <v>9.77160530666327</v>
      </c>
      <c r="K11" s="2">
        <v>17.5</v>
      </c>
      <c r="M11" s="12">
        <f t="shared" si="0"/>
        <v>17.856821423879389</v>
      </c>
      <c r="N11" s="12">
        <f t="shared" si="1"/>
        <v>18.329304940362906</v>
      </c>
    </row>
    <row r="12" spans="1:14" x14ac:dyDescent="0.3">
      <c r="A12" s="2">
        <v>9</v>
      </c>
      <c r="B12" s="2">
        <v>8.3057142857142914</v>
      </c>
      <c r="C12" s="2">
        <v>18</v>
      </c>
      <c r="E12" s="2">
        <v>9</v>
      </c>
      <c r="F12" s="2">
        <v>8.8010183150183181</v>
      </c>
      <c r="G12" s="2">
        <v>18</v>
      </c>
      <c r="I12" s="2">
        <v>9</v>
      </c>
      <c r="J12" s="2">
        <v>11.315350296076936</v>
      </c>
      <c r="K12" s="2">
        <v>18</v>
      </c>
      <c r="M12" s="12">
        <f t="shared" si="0"/>
        <v>19.621064581791227</v>
      </c>
      <c r="N12" s="12">
        <f>F12+J12</f>
        <v>20.116368611095254</v>
      </c>
    </row>
    <row r="13" spans="1:14" x14ac:dyDescent="0.3">
      <c r="A13" s="2">
        <v>10</v>
      </c>
      <c r="B13" s="2">
        <v>8.3999010989010987</v>
      </c>
      <c r="C13" s="2">
        <v>18.5</v>
      </c>
      <c r="E13" s="2">
        <v>10</v>
      </c>
      <c r="F13" s="2">
        <v>8.8754835164835182</v>
      </c>
      <c r="G13" s="2">
        <v>18.5</v>
      </c>
      <c r="I13" s="2">
        <v>10</v>
      </c>
      <c r="J13" s="2">
        <v>11.819083515107016</v>
      </c>
      <c r="K13" s="2">
        <v>18.5</v>
      </c>
      <c r="M13" s="12">
        <f t="shared" si="0"/>
        <v>20.218984614008114</v>
      </c>
      <c r="N13" s="12">
        <f t="shared" si="1"/>
        <v>20.694567031590534</v>
      </c>
    </row>
    <row r="14" spans="1:14" x14ac:dyDescent="0.3">
      <c r="A14" s="2">
        <v>11</v>
      </c>
      <c r="B14" s="2">
        <v>8.5377289377289394</v>
      </c>
      <c r="C14" s="2">
        <v>19</v>
      </c>
      <c r="E14" s="2">
        <v>11</v>
      </c>
      <c r="F14" s="2">
        <v>9.0281538461538418</v>
      </c>
      <c r="G14" s="2">
        <v>19</v>
      </c>
      <c r="I14" s="2">
        <v>11</v>
      </c>
      <c r="J14" s="2">
        <v>11.705485585785182</v>
      </c>
      <c r="K14" s="2">
        <v>19</v>
      </c>
      <c r="M14" s="12">
        <f t="shared" si="0"/>
        <v>20.243214523514119</v>
      </c>
      <c r="N14" s="12">
        <f t="shared" si="1"/>
        <v>20.733639431939025</v>
      </c>
    </row>
    <row r="15" spans="1:14" x14ac:dyDescent="0.3">
      <c r="A15" s="2">
        <v>12</v>
      </c>
      <c r="B15" s="2">
        <v>8.5952124542124562</v>
      </c>
      <c r="C15" s="2">
        <v>19</v>
      </c>
      <c r="E15" s="2">
        <v>12</v>
      </c>
      <c r="F15" s="2">
        <v>9.0943443223443161</v>
      </c>
      <c r="G15" s="2">
        <v>19</v>
      </c>
      <c r="I15" s="2">
        <v>12</v>
      </c>
      <c r="J15" s="2">
        <v>11.483671297976171</v>
      </c>
      <c r="K15" s="2">
        <v>19</v>
      </c>
      <c r="M15" s="12">
        <f t="shared" si="0"/>
        <v>20.078883752188627</v>
      </c>
      <c r="N15" s="12">
        <f t="shared" si="1"/>
        <v>20.578015620320485</v>
      </c>
    </row>
    <row r="16" spans="1:14" x14ac:dyDescent="0.3">
      <c r="A16" s="2">
        <v>13</v>
      </c>
      <c r="B16" s="2">
        <v>8.4254395604395569</v>
      </c>
      <c r="C16" s="2">
        <v>19.5</v>
      </c>
      <c r="E16" s="2">
        <v>13</v>
      </c>
      <c r="F16" s="2">
        <v>8.9051355311355316</v>
      </c>
      <c r="G16" s="2">
        <v>19.5</v>
      </c>
      <c r="I16" s="2">
        <v>13</v>
      </c>
      <c r="J16" s="2">
        <v>11.406203149817369</v>
      </c>
      <c r="K16" s="2">
        <v>19.5</v>
      </c>
      <c r="M16" s="12">
        <f t="shared" si="0"/>
        <v>19.831642710256926</v>
      </c>
      <c r="N16" s="12">
        <f t="shared" si="1"/>
        <v>20.3113386809529</v>
      </c>
    </row>
    <row r="17" spans="1:14" x14ac:dyDescent="0.3">
      <c r="A17" s="2">
        <v>14</v>
      </c>
      <c r="B17" s="2">
        <v>8.2649633699633682</v>
      </c>
      <c r="C17" s="2">
        <v>19</v>
      </c>
      <c r="E17" s="2">
        <v>14</v>
      </c>
      <c r="F17" s="2">
        <v>8.7283186813186848</v>
      </c>
      <c r="G17" s="2">
        <v>19</v>
      </c>
      <c r="I17" s="2">
        <v>14</v>
      </c>
      <c r="J17" s="2">
        <v>11.327671830843459</v>
      </c>
      <c r="K17" s="2">
        <v>19</v>
      </c>
      <c r="M17" s="12">
        <f t="shared" si="0"/>
        <v>19.592635200806825</v>
      </c>
      <c r="N17" s="12">
        <f t="shared" si="1"/>
        <v>20.055990512162143</v>
      </c>
    </row>
    <row r="18" spans="1:14" x14ac:dyDescent="0.3">
      <c r="A18" s="2">
        <v>15</v>
      </c>
      <c r="B18" s="2">
        <v>7.9637692307692305</v>
      </c>
      <c r="C18" s="2">
        <v>18.5</v>
      </c>
      <c r="E18" s="2">
        <v>15</v>
      </c>
      <c r="F18" s="2">
        <v>8.4168791208791234</v>
      </c>
      <c r="G18" s="2">
        <v>18.5</v>
      </c>
      <c r="I18" s="2">
        <v>15</v>
      </c>
      <c r="J18" s="2">
        <v>11.122805293298077</v>
      </c>
      <c r="K18" s="2">
        <v>18.5</v>
      </c>
      <c r="M18" s="12">
        <f t="shared" si="0"/>
        <v>19.086574524067309</v>
      </c>
      <c r="N18" s="12">
        <f t="shared" si="1"/>
        <v>19.539684414177202</v>
      </c>
    </row>
    <row r="19" spans="1:14" x14ac:dyDescent="0.3">
      <c r="A19" s="2">
        <v>16</v>
      </c>
      <c r="B19" s="2">
        <v>7.7344322344322345</v>
      </c>
      <c r="C19" s="2">
        <v>17.5</v>
      </c>
      <c r="E19" s="2">
        <v>16</v>
      </c>
      <c r="F19" s="2">
        <v>8.1482234432234435</v>
      </c>
      <c r="G19" s="2">
        <v>17.5</v>
      </c>
      <c r="I19" s="2">
        <v>16</v>
      </c>
      <c r="J19" s="2">
        <v>11.019698496989614</v>
      </c>
      <c r="K19" s="2">
        <v>17.5</v>
      </c>
      <c r="M19" s="12">
        <f t="shared" si="0"/>
        <v>18.754130731421849</v>
      </c>
      <c r="N19" s="12">
        <f t="shared" si="1"/>
        <v>19.167921940213056</v>
      </c>
    </row>
    <row r="20" spans="1:14" x14ac:dyDescent="0.3">
      <c r="A20" s="2">
        <v>17</v>
      </c>
      <c r="B20" s="2">
        <v>7.569234432234432</v>
      </c>
      <c r="C20" s="2">
        <v>16</v>
      </c>
      <c r="E20" s="2">
        <v>17</v>
      </c>
      <c r="F20" s="2">
        <v>8.0132783882783887</v>
      </c>
      <c r="G20" s="2">
        <v>16</v>
      </c>
      <c r="I20" s="2">
        <v>17</v>
      </c>
      <c r="J20" s="2">
        <v>9.7598743189278601</v>
      </c>
      <c r="K20" s="2">
        <v>16</v>
      </c>
      <c r="M20" s="12">
        <f t="shared" si="0"/>
        <v>17.329108751162291</v>
      </c>
      <c r="N20" s="12">
        <f t="shared" si="1"/>
        <v>17.773152707206251</v>
      </c>
    </row>
    <row r="21" spans="1:14" x14ac:dyDescent="0.3">
      <c r="A21" s="2">
        <v>18</v>
      </c>
      <c r="B21" s="2">
        <v>7.1293919413919449</v>
      </c>
      <c r="C21" s="2">
        <v>15.5</v>
      </c>
      <c r="E21" s="2">
        <v>18</v>
      </c>
      <c r="F21" s="2">
        <v>7.5397802197802157</v>
      </c>
      <c r="G21" s="2">
        <v>15.5</v>
      </c>
      <c r="I21" s="2">
        <v>18</v>
      </c>
      <c r="J21" s="2">
        <v>7.3861612879678837</v>
      </c>
      <c r="K21" s="2">
        <v>15.5</v>
      </c>
      <c r="M21" s="12">
        <f t="shared" si="0"/>
        <v>14.515553229359828</v>
      </c>
      <c r="N21" s="12">
        <f t="shared" si="1"/>
        <v>14.925941507748099</v>
      </c>
    </row>
    <row r="22" spans="1:14" x14ac:dyDescent="0.3">
      <c r="A22" s="2">
        <v>19</v>
      </c>
      <c r="B22" s="2">
        <v>6.9446849816849836</v>
      </c>
      <c r="C22" s="2">
        <v>15</v>
      </c>
      <c r="E22" s="2">
        <v>19</v>
      </c>
      <c r="F22" s="2">
        <v>7.3476043956043942</v>
      </c>
      <c r="G22" s="2">
        <v>15</v>
      </c>
      <c r="I22" s="2">
        <v>19</v>
      </c>
      <c r="J22" s="2">
        <v>4.127739557705798</v>
      </c>
      <c r="K22" s="2">
        <v>15</v>
      </c>
      <c r="M22" s="12">
        <f t="shared" si="0"/>
        <v>11.072424539390781</v>
      </c>
      <c r="N22" s="12">
        <f t="shared" si="1"/>
        <v>11.475343953310192</v>
      </c>
    </row>
    <row r="23" spans="1:14" x14ac:dyDescent="0.3">
      <c r="A23" s="2">
        <v>20</v>
      </c>
      <c r="B23" s="2">
        <v>7.1847252747252792</v>
      </c>
      <c r="C23" s="2">
        <v>14.5</v>
      </c>
      <c r="E23" s="2">
        <v>20</v>
      </c>
      <c r="F23" s="2">
        <v>7.5957619047619058</v>
      </c>
      <c r="G23" s="2">
        <v>14.5</v>
      </c>
      <c r="I23" s="2">
        <v>20</v>
      </c>
      <c r="J23" s="2">
        <v>7.3948085336244442E-3</v>
      </c>
      <c r="K23" s="2">
        <v>14.5</v>
      </c>
      <c r="M23" s="12">
        <f t="shared" si="0"/>
        <v>7.1921200832589038</v>
      </c>
      <c r="N23" s="12">
        <f t="shared" si="1"/>
        <v>7.6031567132955304</v>
      </c>
    </row>
    <row r="24" spans="1:14" x14ac:dyDescent="0.3">
      <c r="A24" s="2">
        <v>21</v>
      </c>
      <c r="B24" s="2">
        <v>7.6073150183150196</v>
      </c>
      <c r="C24" s="2">
        <v>14</v>
      </c>
      <c r="E24" s="2">
        <v>21</v>
      </c>
      <c r="F24" s="2">
        <v>8.0534908424908416</v>
      </c>
      <c r="G24" s="2">
        <v>14</v>
      </c>
      <c r="I24" s="2">
        <v>21</v>
      </c>
      <c r="J24" s="2">
        <v>0</v>
      </c>
      <c r="K24" s="2">
        <v>14</v>
      </c>
      <c r="M24" s="12">
        <f t="shared" si="0"/>
        <v>7.6073150183150196</v>
      </c>
      <c r="N24" s="12">
        <f t="shared" si="1"/>
        <v>8.0534908424908416</v>
      </c>
    </row>
    <row r="25" spans="1:14" x14ac:dyDescent="0.3">
      <c r="A25" s="2">
        <v>22</v>
      </c>
      <c r="B25" s="2">
        <v>7.9488608058608055</v>
      </c>
      <c r="C25" s="2">
        <v>13</v>
      </c>
      <c r="E25" s="2">
        <v>22</v>
      </c>
      <c r="F25" s="2">
        <v>8.461871794871799</v>
      </c>
      <c r="G25" s="2">
        <v>13</v>
      </c>
      <c r="I25" s="2">
        <v>22</v>
      </c>
      <c r="J25" s="2">
        <v>0</v>
      </c>
      <c r="K25" s="2">
        <v>13</v>
      </c>
      <c r="M25" s="12">
        <f t="shared" si="0"/>
        <v>7.9488608058608055</v>
      </c>
      <c r="N25" s="12">
        <f t="shared" si="1"/>
        <v>8.461871794871799</v>
      </c>
    </row>
    <row r="26" spans="1:14" x14ac:dyDescent="0.3">
      <c r="A26" s="2">
        <v>23</v>
      </c>
      <c r="B26" s="2">
        <v>8.2370512820512847</v>
      </c>
      <c r="C26" s="2">
        <v>12</v>
      </c>
      <c r="E26" s="2">
        <v>23</v>
      </c>
      <c r="F26" s="2">
        <v>8.7668498168498221</v>
      </c>
      <c r="G26" s="2">
        <v>12</v>
      </c>
      <c r="I26" s="2">
        <v>23</v>
      </c>
      <c r="J26" s="2">
        <v>0</v>
      </c>
      <c r="K26" s="2">
        <v>12</v>
      </c>
      <c r="M26" s="12">
        <f t="shared" si="0"/>
        <v>8.2370512820512847</v>
      </c>
      <c r="N26" s="12">
        <f t="shared" si="1"/>
        <v>8.7668498168498221</v>
      </c>
    </row>
  </sheetData>
  <mergeCells count="3">
    <mergeCell ref="A1:G1"/>
    <mergeCell ref="I1:K1"/>
    <mergeCell ref="M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59B47-250A-4A43-A7E3-68B8E3AE602F}">
  <dimension ref="A1:N26"/>
  <sheetViews>
    <sheetView zoomScale="87" workbookViewId="0">
      <selection activeCell="N28" sqref="N28"/>
    </sheetView>
  </sheetViews>
  <sheetFormatPr baseColWidth="10" defaultRowHeight="14.4" x14ac:dyDescent="0.3"/>
  <sheetData>
    <row r="1" spans="1:14" x14ac:dyDescent="0.3">
      <c r="A1" s="2" t="s">
        <v>0</v>
      </c>
      <c r="B1" s="2"/>
      <c r="C1" s="2"/>
      <c r="E1" s="2" t="s">
        <v>0</v>
      </c>
      <c r="F1" s="2"/>
      <c r="G1" s="2"/>
      <c r="I1" s="3" t="s">
        <v>8</v>
      </c>
      <c r="J1" s="3"/>
      <c r="K1" s="3"/>
      <c r="M1" s="8" t="s">
        <v>13</v>
      </c>
      <c r="N1" s="10"/>
    </row>
    <row r="2" spans="1:14" ht="43.2" x14ac:dyDescent="0.3">
      <c r="A2" s="1" t="s">
        <v>1</v>
      </c>
      <c r="B2" s="1" t="s">
        <v>3</v>
      </c>
      <c r="C2" s="1" t="s">
        <v>5</v>
      </c>
      <c r="D2" s="7"/>
      <c r="E2" s="1" t="s">
        <v>1</v>
      </c>
      <c r="F2" s="1" t="s">
        <v>7</v>
      </c>
      <c r="G2" s="1" t="s">
        <v>5</v>
      </c>
      <c r="H2" s="7"/>
      <c r="I2" s="1" t="s">
        <v>1</v>
      </c>
      <c r="J2" s="1" t="s">
        <v>10</v>
      </c>
      <c r="K2" s="1" t="s">
        <v>12</v>
      </c>
      <c r="M2" s="11" t="s">
        <v>14</v>
      </c>
      <c r="N2" s="11" t="s">
        <v>15</v>
      </c>
    </row>
    <row r="3" spans="1:14" x14ac:dyDescent="0.3">
      <c r="A3" s="2">
        <v>0</v>
      </c>
      <c r="B3" s="2">
        <v>8.895673913043483</v>
      </c>
      <c r="C3" s="2">
        <v>9.5</v>
      </c>
      <c r="E3" s="2">
        <v>0</v>
      </c>
      <c r="F3" s="2">
        <v>9.4448804347826094</v>
      </c>
      <c r="G3" s="2">
        <v>9.5</v>
      </c>
      <c r="I3" s="2">
        <v>0</v>
      </c>
      <c r="J3" s="2">
        <v>0</v>
      </c>
      <c r="K3" s="2">
        <v>9.5</v>
      </c>
      <c r="M3" s="2">
        <f>B3+J3</f>
        <v>8.895673913043483</v>
      </c>
      <c r="N3" s="2">
        <f>F3+J3</f>
        <v>9.4448804347826094</v>
      </c>
    </row>
    <row r="4" spans="1:14" x14ac:dyDescent="0.3">
      <c r="A4" s="2">
        <v>1</v>
      </c>
      <c r="B4" s="2">
        <v>8.904503623188404</v>
      </c>
      <c r="C4" s="2">
        <v>9</v>
      </c>
      <c r="E4" s="2">
        <v>1</v>
      </c>
      <c r="F4" s="2">
        <v>9.4411304347826146</v>
      </c>
      <c r="G4" s="2">
        <v>9</v>
      </c>
      <c r="I4" s="2">
        <v>1</v>
      </c>
      <c r="J4" s="2">
        <v>0</v>
      </c>
      <c r="K4" s="2">
        <v>9</v>
      </c>
      <c r="M4" s="2">
        <f t="shared" ref="M4:M26" si="0">B4+J4</f>
        <v>8.904503623188404</v>
      </c>
      <c r="N4" s="2">
        <f t="shared" ref="N4:N26" si="1">F4+J4</f>
        <v>9.4411304347826146</v>
      </c>
    </row>
    <row r="5" spans="1:14" x14ac:dyDescent="0.3">
      <c r="A5" s="2">
        <v>2</v>
      </c>
      <c r="B5" s="2">
        <v>8.8331811594202936</v>
      </c>
      <c r="C5" s="2">
        <v>9</v>
      </c>
      <c r="E5" s="2">
        <v>2</v>
      </c>
      <c r="F5" s="2">
        <v>9.3567391304347822</v>
      </c>
      <c r="G5" s="2">
        <v>9</v>
      </c>
      <c r="I5" s="2">
        <v>2</v>
      </c>
      <c r="J5" s="2">
        <v>0</v>
      </c>
      <c r="K5" s="2">
        <v>9</v>
      </c>
      <c r="M5" s="2">
        <f t="shared" si="0"/>
        <v>8.8331811594202936</v>
      </c>
      <c r="N5" s="2">
        <f t="shared" si="1"/>
        <v>9.3567391304347822</v>
      </c>
    </row>
    <row r="6" spans="1:14" x14ac:dyDescent="0.3">
      <c r="A6" s="2">
        <v>3</v>
      </c>
      <c r="B6" s="2">
        <v>8.8791666666666593</v>
      </c>
      <c r="C6" s="2">
        <v>9.5</v>
      </c>
      <c r="E6" s="2">
        <v>3</v>
      </c>
      <c r="F6" s="2">
        <v>9.3990869565217405</v>
      </c>
      <c r="G6" s="2">
        <v>9.5</v>
      </c>
      <c r="I6" s="2">
        <v>3</v>
      </c>
      <c r="J6" s="2">
        <v>0</v>
      </c>
      <c r="K6" s="2">
        <v>9.5</v>
      </c>
      <c r="M6" s="2">
        <f t="shared" si="0"/>
        <v>8.8791666666666593</v>
      </c>
      <c r="N6" s="2">
        <f t="shared" si="1"/>
        <v>9.3990869565217405</v>
      </c>
    </row>
    <row r="7" spans="1:14" x14ac:dyDescent="0.3">
      <c r="A7" s="2">
        <v>4</v>
      </c>
      <c r="B7" s="2">
        <v>9.0395724637681116</v>
      </c>
      <c r="C7" s="2">
        <v>11</v>
      </c>
      <c r="E7" s="2">
        <v>4</v>
      </c>
      <c r="F7" s="2">
        <v>9.5630253623188395</v>
      </c>
      <c r="G7" s="2">
        <v>11</v>
      </c>
      <c r="I7" s="2">
        <v>4</v>
      </c>
      <c r="J7" s="2">
        <v>0</v>
      </c>
      <c r="K7" s="2">
        <v>11</v>
      </c>
      <c r="M7" s="2">
        <f t="shared" si="0"/>
        <v>9.0395724637681116</v>
      </c>
      <c r="N7" s="2">
        <f t="shared" si="1"/>
        <v>9.5630253623188395</v>
      </c>
    </row>
    <row r="8" spans="1:14" x14ac:dyDescent="0.3">
      <c r="A8" s="2">
        <v>5</v>
      </c>
      <c r="B8" s="2">
        <v>8.9924275362318884</v>
      </c>
      <c r="C8" s="2">
        <v>12.5</v>
      </c>
      <c r="E8" s="2">
        <v>5</v>
      </c>
      <c r="F8" s="2">
        <v>9.549920289855077</v>
      </c>
      <c r="G8" s="2">
        <v>12.5</v>
      </c>
      <c r="I8" s="2">
        <v>5</v>
      </c>
      <c r="J8" s="2">
        <v>0</v>
      </c>
      <c r="K8" s="2">
        <v>12.5</v>
      </c>
      <c r="M8" s="2">
        <f t="shared" si="0"/>
        <v>8.9924275362318884</v>
      </c>
      <c r="N8" s="2">
        <f t="shared" si="1"/>
        <v>9.549920289855077</v>
      </c>
    </row>
    <row r="9" spans="1:14" x14ac:dyDescent="0.3">
      <c r="A9" s="2">
        <v>6</v>
      </c>
      <c r="B9" s="2">
        <v>8.7901413043478254</v>
      </c>
      <c r="C9" s="2">
        <v>14</v>
      </c>
      <c r="E9" s="2">
        <v>6</v>
      </c>
      <c r="F9" s="2">
        <v>9.341253623188404</v>
      </c>
      <c r="G9" s="2">
        <v>14</v>
      </c>
      <c r="I9" s="2">
        <v>6</v>
      </c>
      <c r="J9" s="2">
        <v>0.29369911025181178</v>
      </c>
      <c r="K9" s="2">
        <v>14</v>
      </c>
      <c r="M9" s="2">
        <f t="shared" si="0"/>
        <v>9.0838404145996368</v>
      </c>
      <c r="N9" s="2">
        <f t="shared" si="1"/>
        <v>9.6349527334402154</v>
      </c>
    </row>
    <row r="10" spans="1:14" x14ac:dyDescent="0.3">
      <c r="A10" s="2">
        <v>7</v>
      </c>
      <c r="B10" s="2">
        <v>8.5960615942029062</v>
      </c>
      <c r="C10" s="2">
        <v>15.5</v>
      </c>
      <c r="E10" s="2">
        <v>7</v>
      </c>
      <c r="F10" s="2">
        <v>9.1226086956521701</v>
      </c>
      <c r="G10" s="2">
        <v>15.5</v>
      </c>
      <c r="I10" s="2">
        <v>7</v>
      </c>
      <c r="J10" s="2">
        <v>1.9262854295583458</v>
      </c>
      <c r="K10" s="2">
        <v>15.5</v>
      </c>
      <c r="M10" s="2">
        <f t="shared" si="0"/>
        <v>10.522347023761252</v>
      </c>
      <c r="N10" s="2">
        <f t="shared" si="1"/>
        <v>11.048894125210516</v>
      </c>
    </row>
    <row r="11" spans="1:14" x14ac:dyDescent="0.3">
      <c r="A11" s="2">
        <v>8</v>
      </c>
      <c r="B11" s="2">
        <v>8.4298695652173894</v>
      </c>
      <c r="C11" s="2">
        <v>16</v>
      </c>
      <c r="E11" s="2">
        <v>8</v>
      </c>
      <c r="F11" s="2">
        <v>8.9197246376811616</v>
      </c>
      <c r="G11" s="2">
        <v>16</v>
      </c>
      <c r="I11" s="2">
        <v>8</v>
      </c>
      <c r="J11" s="2">
        <v>4.7457789620039321</v>
      </c>
      <c r="K11" s="2">
        <v>16</v>
      </c>
      <c r="M11" s="2">
        <f t="shared" si="0"/>
        <v>13.175648527221322</v>
      </c>
      <c r="N11" s="2">
        <f t="shared" si="1"/>
        <v>13.665503599685094</v>
      </c>
    </row>
    <row r="12" spans="1:14" x14ac:dyDescent="0.3">
      <c r="A12" s="2">
        <v>9</v>
      </c>
      <c r="B12" s="2">
        <v>8.4113514492753598</v>
      </c>
      <c r="C12" s="2">
        <v>16</v>
      </c>
      <c r="E12" s="2">
        <v>9</v>
      </c>
      <c r="F12" s="2">
        <v>8.9074311594202911</v>
      </c>
      <c r="G12" s="2">
        <v>16</v>
      </c>
      <c r="I12" s="2">
        <v>9</v>
      </c>
      <c r="J12" s="2">
        <v>7.7329692419582745</v>
      </c>
      <c r="K12" s="2">
        <v>16</v>
      </c>
      <c r="M12" s="2">
        <f t="shared" si="0"/>
        <v>16.144320691233634</v>
      </c>
      <c r="N12" s="2">
        <f t="shared" si="1"/>
        <v>16.640400401378564</v>
      </c>
    </row>
    <row r="13" spans="1:14" x14ac:dyDescent="0.3">
      <c r="A13" s="2">
        <v>10</v>
      </c>
      <c r="B13" s="2">
        <v>8.2718297101449281</v>
      </c>
      <c r="C13" s="2">
        <v>15.5</v>
      </c>
      <c r="E13" s="2">
        <v>10</v>
      </c>
      <c r="F13" s="2">
        <v>8.7900942028985476</v>
      </c>
      <c r="G13" s="2">
        <v>15.5</v>
      </c>
      <c r="I13" s="2">
        <v>10</v>
      </c>
      <c r="J13" s="2">
        <v>8.4384653461489183</v>
      </c>
      <c r="K13" s="2">
        <v>15.5</v>
      </c>
      <c r="M13" s="2">
        <f t="shared" si="0"/>
        <v>16.710295056293845</v>
      </c>
      <c r="N13" s="2">
        <f t="shared" si="1"/>
        <v>17.228559549047468</v>
      </c>
    </row>
    <row r="14" spans="1:14" x14ac:dyDescent="0.3">
      <c r="A14" s="2">
        <v>11</v>
      </c>
      <c r="B14" s="2">
        <v>8.255148550724634</v>
      </c>
      <c r="C14" s="2">
        <v>15</v>
      </c>
      <c r="E14" s="2">
        <v>11</v>
      </c>
      <c r="F14" s="2">
        <v>8.8041956521739131</v>
      </c>
      <c r="G14" s="2">
        <v>15</v>
      </c>
      <c r="I14" s="2">
        <v>11</v>
      </c>
      <c r="J14" s="2">
        <v>8.2430711071545328</v>
      </c>
      <c r="K14" s="2">
        <v>15</v>
      </c>
      <c r="M14" s="2">
        <f t="shared" si="0"/>
        <v>16.498219657879169</v>
      </c>
      <c r="N14" s="2">
        <f t="shared" si="1"/>
        <v>17.047266759328444</v>
      </c>
    </row>
    <row r="15" spans="1:14" x14ac:dyDescent="0.3">
      <c r="A15" s="2">
        <v>12</v>
      </c>
      <c r="B15" s="2">
        <v>8.2952934782608629</v>
      </c>
      <c r="C15" s="2">
        <v>15</v>
      </c>
      <c r="E15" s="2">
        <v>12</v>
      </c>
      <c r="F15" s="2">
        <v>8.8476014492753663</v>
      </c>
      <c r="G15" s="2">
        <v>15</v>
      </c>
      <c r="I15" s="2">
        <v>12</v>
      </c>
      <c r="J15" s="2">
        <v>7.840254198391607</v>
      </c>
      <c r="K15" s="2">
        <v>15</v>
      </c>
      <c r="M15" s="2">
        <f t="shared" si="0"/>
        <v>16.135547676652472</v>
      </c>
      <c r="N15" s="2">
        <f t="shared" si="1"/>
        <v>16.687855647666971</v>
      </c>
    </row>
    <row r="16" spans="1:14" x14ac:dyDescent="0.3">
      <c r="A16" s="2">
        <v>13</v>
      </c>
      <c r="B16" s="2">
        <v>8.4436231884057982</v>
      </c>
      <c r="C16" s="2">
        <v>14.5</v>
      </c>
      <c r="E16" s="2">
        <v>13</v>
      </c>
      <c r="F16" s="2">
        <v>8.9863913043478245</v>
      </c>
      <c r="G16" s="2">
        <v>14.5</v>
      </c>
      <c r="I16" s="2">
        <v>13</v>
      </c>
      <c r="J16" s="2">
        <v>7.8003446760936024</v>
      </c>
      <c r="K16" s="2">
        <v>14.5</v>
      </c>
      <c r="M16" s="2">
        <f t="shared" si="0"/>
        <v>16.2439678644994</v>
      </c>
      <c r="N16" s="2">
        <f t="shared" si="1"/>
        <v>16.786735980441428</v>
      </c>
    </row>
    <row r="17" spans="1:14" x14ac:dyDescent="0.3">
      <c r="A17" s="2">
        <v>14</v>
      </c>
      <c r="B17" s="2">
        <v>8.4008478260869595</v>
      </c>
      <c r="C17" s="2">
        <v>14.5</v>
      </c>
      <c r="E17" s="2">
        <v>14</v>
      </c>
      <c r="F17" s="2">
        <v>8.9463007246376804</v>
      </c>
      <c r="G17" s="2">
        <v>14.5</v>
      </c>
      <c r="I17" s="2">
        <v>14</v>
      </c>
      <c r="J17" s="2">
        <v>8.0476096264561647</v>
      </c>
      <c r="K17" s="2">
        <v>14.5</v>
      </c>
      <c r="M17" s="2">
        <f t="shared" si="0"/>
        <v>16.448457452543124</v>
      </c>
      <c r="N17" s="2">
        <f t="shared" si="1"/>
        <v>16.993910351093845</v>
      </c>
    </row>
    <row r="18" spans="1:14" x14ac:dyDescent="0.3">
      <c r="A18" s="2">
        <v>15</v>
      </c>
      <c r="B18" s="2">
        <v>8.2015978260869566</v>
      </c>
      <c r="C18" s="2">
        <v>15</v>
      </c>
      <c r="E18" s="2">
        <v>15</v>
      </c>
      <c r="F18" s="2">
        <v>8.7341992753623163</v>
      </c>
      <c r="G18" s="2">
        <v>15</v>
      </c>
      <c r="I18" s="2">
        <v>15</v>
      </c>
      <c r="J18" s="2">
        <v>8.1036007931309104</v>
      </c>
      <c r="K18" s="2">
        <v>15</v>
      </c>
      <c r="M18" s="2">
        <f t="shared" si="0"/>
        <v>16.305198619217869</v>
      </c>
      <c r="N18" s="2">
        <f t="shared" si="1"/>
        <v>16.837800068493227</v>
      </c>
    </row>
    <row r="19" spans="1:14" x14ac:dyDescent="0.3">
      <c r="A19" s="2">
        <v>16</v>
      </c>
      <c r="B19" s="2">
        <v>8.1271956521739117</v>
      </c>
      <c r="C19" s="2">
        <v>16</v>
      </c>
      <c r="E19" s="2">
        <v>16</v>
      </c>
      <c r="F19" s="2">
        <v>8.6361195652173866</v>
      </c>
      <c r="G19" s="2">
        <v>16</v>
      </c>
      <c r="I19" s="2">
        <v>16</v>
      </c>
      <c r="J19" s="2">
        <v>7.5727299015421989</v>
      </c>
      <c r="K19" s="2">
        <v>16</v>
      </c>
      <c r="M19" s="2">
        <f t="shared" si="0"/>
        <v>15.69992555371611</v>
      </c>
      <c r="N19" s="2">
        <f t="shared" si="1"/>
        <v>16.208849466759585</v>
      </c>
    </row>
    <row r="20" spans="1:14" x14ac:dyDescent="0.3">
      <c r="A20" s="2">
        <v>17</v>
      </c>
      <c r="B20" s="2">
        <v>8.2678079710144914</v>
      </c>
      <c r="C20" s="2">
        <v>17</v>
      </c>
      <c r="E20" s="2">
        <v>17</v>
      </c>
      <c r="F20" s="2">
        <v>8.8056159420289806</v>
      </c>
      <c r="G20" s="2">
        <v>17</v>
      </c>
      <c r="I20" s="2">
        <v>17</v>
      </c>
      <c r="J20" s="2">
        <v>5.9764655668833333</v>
      </c>
      <c r="K20" s="2">
        <v>17</v>
      </c>
      <c r="M20" s="2">
        <f t="shared" si="0"/>
        <v>14.244273537897826</v>
      </c>
      <c r="N20" s="2">
        <f t="shared" si="1"/>
        <v>14.782081508912313</v>
      </c>
    </row>
    <row r="21" spans="1:14" x14ac:dyDescent="0.3">
      <c r="A21" s="2">
        <v>18</v>
      </c>
      <c r="B21" s="2">
        <v>8.3340760869565234</v>
      </c>
      <c r="C21" s="2">
        <v>18</v>
      </c>
      <c r="E21" s="2">
        <v>18</v>
      </c>
      <c r="F21" s="2">
        <v>8.8512898550724675</v>
      </c>
      <c r="G21" s="2">
        <v>18</v>
      </c>
      <c r="I21" s="2">
        <v>18</v>
      </c>
      <c r="J21" s="2">
        <v>2.1731638098716131</v>
      </c>
      <c r="K21" s="2">
        <v>18</v>
      </c>
      <c r="M21" s="2">
        <f t="shared" si="0"/>
        <v>10.507239896828136</v>
      </c>
      <c r="N21" s="2">
        <f t="shared" si="1"/>
        <v>11.02445366494408</v>
      </c>
    </row>
    <row r="22" spans="1:14" x14ac:dyDescent="0.3">
      <c r="A22" s="2">
        <v>19</v>
      </c>
      <c r="B22" s="2">
        <v>8.3684057971014472</v>
      </c>
      <c r="C22" s="2">
        <v>18.5</v>
      </c>
      <c r="E22" s="2">
        <v>19</v>
      </c>
      <c r="F22" s="2">
        <v>8.904688405797101</v>
      </c>
      <c r="G22" s="2">
        <v>18.5</v>
      </c>
      <c r="I22" s="2">
        <v>19</v>
      </c>
      <c r="J22" s="2">
        <v>4.5861203450583213E-3</v>
      </c>
      <c r="K22" s="2">
        <v>18.5</v>
      </c>
      <c r="M22" s="2">
        <f t="shared" si="0"/>
        <v>8.3729919174465053</v>
      </c>
      <c r="N22" s="2">
        <f t="shared" si="1"/>
        <v>8.9092745261421591</v>
      </c>
    </row>
    <row r="23" spans="1:14" x14ac:dyDescent="0.3">
      <c r="A23" s="2">
        <v>20</v>
      </c>
      <c r="B23" s="2">
        <v>8.5374202898550706</v>
      </c>
      <c r="C23" s="2">
        <v>18</v>
      </c>
      <c r="E23" s="2">
        <v>20</v>
      </c>
      <c r="F23" s="2">
        <v>9.0844094202898553</v>
      </c>
      <c r="G23" s="2">
        <v>18</v>
      </c>
      <c r="I23" s="2">
        <v>20</v>
      </c>
      <c r="J23" s="2">
        <v>0</v>
      </c>
      <c r="K23" s="2">
        <v>18</v>
      </c>
      <c r="M23" s="2">
        <f t="shared" si="0"/>
        <v>8.5374202898550706</v>
      </c>
      <c r="N23" s="2">
        <f t="shared" si="1"/>
        <v>9.0844094202898553</v>
      </c>
    </row>
    <row r="24" spans="1:14" x14ac:dyDescent="0.3">
      <c r="A24" s="2">
        <v>21</v>
      </c>
      <c r="B24" s="2">
        <v>8.6125579710144979</v>
      </c>
      <c r="C24" s="2">
        <v>16.5</v>
      </c>
      <c r="E24" s="2">
        <v>21</v>
      </c>
      <c r="F24" s="2">
        <v>9.1365869565217306</v>
      </c>
      <c r="G24" s="2">
        <v>16.5</v>
      </c>
      <c r="I24" s="2">
        <v>21</v>
      </c>
      <c r="J24" s="2">
        <v>0</v>
      </c>
      <c r="K24" s="2">
        <v>16.5</v>
      </c>
      <c r="M24" s="2">
        <f t="shared" si="0"/>
        <v>8.6125579710144979</v>
      </c>
      <c r="N24" s="2">
        <f t="shared" si="1"/>
        <v>9.1365869565217306</v>
      </c>
    </row>
    <row r="25" spans="1:14" x14ac:dyDescent="0.3">
      <c r="A25" s="2">
        <v>22</v>
      </c>
      <c r="B25" s="2">
        <v>8.7556449275362276</v>
      </c>
      <c r="C25" s="2">
        <v>14</v>
      </c>
      <c r="E25" s="2">
        <v>22</v>
      </c>
      <c r="F25" s="2">
        <v>9.2957173913043487</v>
      </c>
      <c r="G25" s="2">
        <v>14</v>
      </c>
      <c r="I25" s="2">
        <v>22</v>
      </c>
      <c r="J25" s="2">
        <v>0</v>
      </c>
      <c r="K25" s="2">
        <v>14</v>
      </c>
      <c r="M25" s="2">
        <f t="shared" si="0"/>
        <v>8.7556449275362276</v>
      </c>
      <c r="N25" s="2">
        <f t="shared" si="1"/>
        <v>9.2957173913043487</v>
      </c>
    </row>
    <row r="26" spans="1:14" x14ac:dyDescent="0.3">
      <c r="A26" s="2">
        <v>23</v>
      </c>
      <c r="B26" s="2">
        <v>8.8914130434782663</v>
      </c>
      <c r="C26" s="2">
        <v>11</v>
      </c>
      <c r="E26" s="2">
        <v>23</v>
      </c>
      <c r="F26" s="2">
        <v>9.4252246376811577</v>
      </c>
      <c r="G26" s="2">
        <v>11</v>
      </c>
      <c r="I26" s="2">
        <v>23</v>
      </c>
      <c r="J26" s="2">
        <v>0</v>
      </c>
      <c r="K26" s="2">
        <v>11</v>
      </c>
      <c r="M26" s="2">
        <f t="shared" si="0"/>
        <v>8.8914130434782663</v>
      </c>
      <c r="N26" s="2">
        <f t="shared" si="1"/>
        <v>9.4252246376811577</v>
      </c>
    </row>
  </sheetData>
  <mergeCells count="2">
    <mergeCell ref="I1:K1"/>
    <mergeCell ref="M1: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35C6-A193-44F8-A7DA-F827AFB08A2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42E0-5161-434F-AE88-A668B45FECAB}">
  <dimension ref="A1"/>
  <sheetViews>
    <sheetView workbookViewId="0">
      <selection activeCell="I22" sqref="I22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Verano promedio</vt:lpstr>
      <vt:lpstr>Invierno promedio</vt:lpstr>
      <vt:lpstr>Verano mínimo</vt:lpstr>
      <vt:lpstr>Invierno mínimo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Joaquina Migueles</dc:creator>
  <cp:lastModifiedBy>Joaquina Migueles</cp:lastModifiedBy>
  <dcterms:created xsi:type="dcterms:W3CDTF">2026-08-31T17:58:30Z</dcterms:created>
  <dcterms:modified xsi:type="dcterms:W3CDTF">2026-08-31T18:15:14Z</dcterms:modified>
</cp:coreProperties>
</file>